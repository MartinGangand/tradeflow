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martingangand/Documents/trade_flow_modelling/metric_results/"/>
    </mc:Choice>
  </mc:AlternateContent>
  <xr:revisionPtr revIDLastSave="0" documentId="13_ncr:1_{8FA625C1-D96E-1344-96B9-A85D56D28B65}" xr6:coauthVersionLast="47" xr6:coauthVersionMax="47" xr10:uidLastSave="{00000000-0000-0000-0000-000000000000}"/>
  <bookViews>
    <workbookView xWindow="0" yWindow="740" windowWidth="29400" windowHeight="16940" xr2:uid="{00000000-000D-0000-FFFF-FFFF00000000}"/>
  </bookViews>
  <sheets>
    <sheet name="Sheet1" sheetId="1" r:id="rId1"/>
  </sheets>
  <definedNames>
    <definedName name="_xlchart.v1.0" hidden="1">Sheet1!$B$2:$B$29</definedName>
    <definedName name="_xlchart.v1.1" hidden="1">Sheet1!$I$2:$I$29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F30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" i="1"/>
  <c r="F4" i="1"/>
  <c r="F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</calcChain>
</file>

<file path=xl/sharedStrings.xml><?xml version="1.0" encoding="utf-8"?>
<sst xmlns="http://schemas.openxmlformats.org/spreadsheetml/2006/main" count="8" uniqueCount="8">
  <si>
    <t>nb_lags</t>
  </si>
  <si>
    <t>metric_buy_pct</t>
  </si>
  <si>
    <t>metric_std_buy_pct</t>
  </si>
  <si>
    <t>metric_mae_autocorrelation</t>
  </si>
  <si>
    <t>time_all_process</t>
  </si>
  <si>
    <t>time_model_fit</t>
  </si>
  <si>
    <t>time_sign_generation</t>
  </si>
  <si>
    <t>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</si>
</sst>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</c:numCache>
            </c:numRef>
          </c:xVal>
          <c:yVal>
            <c:numRef>
              <c:f>Sheet1!$G$2:$G$29</c:f>
              <c:numCache>
                <c:formatCode>General</c:formatCode>
                <c:ptCount val="28"/>
                <c:pt idx="0">
                  <c:v>0.68042794155788022</c:v>
                </c:pt>
                <c:pt idx="1">
                  <c:v>0.44904556064666723</c:v>
                </c:pt>
                <c:pt idx="2">
                  <c:v>0.31132330480389614</c:v>
                </c:pt>
                <c:pt idx="3">
                  <c:v>0.17694360393072245</c:v>
                </c:pt>
                <c:pt idx="4">
                  <c:v>0.19138151638281317</c:v>
                </c:pt>
                <c:pt idx="5">
                  <c:v>0.12890348981297367</c:v>
                </c:pt>
                <c:pt idx="6">
                  <c:v>0.13910521310625051</c:v>
                </c:pt>
                <c:pt idx="7">
                  <c:v>0.13103599319904324</c:v>
                </c:pt>
                <c:pt idx="8">
                  <c:v>7.8471801965361229E-2</c:v>
                </c:pt>
                <c:pt idx="9">
                  <c:v>5.3889801446644181E-2</c:v>
                </c:pt>
                <c:pt idx="10">
                  <c:v>2.3774530993343129E-2</c:v>
                </c:pt>
                <c:pt idx="11">
                  <c:v>5.5532405406184253E-2</c:v>
                </c:pt>
                <c:pt idx="12">
                  <c:v>5.3889801446644181E-2</c:v>
                </c:pt>
                <c:pt idx="13">
                  <c:v>3.8904354341373446E-2</c:v>
                </c:pt>
                <c:pt idx="14">
                  <c:v>3.8990807181349237E-2</c:v>
                </c:pt>
                <c:pt idx="15">
                  <c:v>4.1181233970202583E-2</c:v>
                </c:pt>
                <c:pt idx="16">
                  <c:v>5.2535373620356762E-2</c:v>
                </c:pt>
                <c:pt idx="17">
                  <c:v>7.7664908792253823E-2</c:v>
                </c:pt>
                <c:pt idx="18">
                  <c:v>3.1843750900550416E-2</c:v>
                </c:pt>
                <c:pt idx="19">
                  <c:v>1.4927523702486957E-2</c:v>
                </c:pt>
                <c:pt idx="20">
                  <c:v>4.069104636753984E-2</c:v>
                </c:pt>
                <c:pt idx="21">
                  <c:v>1.8847007290856171E-2</c:v>
                </c:pt>
                <c:pt idx="22">
                  <c:v>7.3484913979424207E-3</c:v>
                </c:pt>
                <c:pt idx="23">
                  <c:v>2.244920895651422E-2</c:v>
                </c:pt>
                <c:pt idx="24">
                  <c:v>0.10795279674937322</c:v>
                </c:pt>
                <c:pt idx="25">
                  <c:v>7.3515460649549003E-2</c:v>
                </c:pt>
                <c:pt idx="26">
                  <c:v>2.6945044811388721E-2</c:v>
                </c:pt>
                <c:pt idx="27">
                  <c:v>1.2478026569839484E-2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4-F54B-81F9-B9DEDF181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412944"/>
        <c:axId val="367415216"/>
      </c:scatterChart>
      <c:valAx>
        <c:axId val="36741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15216"/>
        <c:crosses val="autoZero"/>
        <c:crossBetween val="midCat"/>
      </c:valAx>
      <c:valAx>
        <c:axId val="36741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1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m1</a:t>
            </a:r>
          </a:p>
        </c:rich>
      </c:tx>
      <c:layout>
        <c:manualLayout>
          <c:xMode val="edge"/>
          <c:yMode val="edge"/>
          <c:x val="0.62613016476985994"/>
          <c:y val="4.002911093453475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</c:numCache>
            </c:numRef>
          </c:xVal>
          <c:yVal>
            <c:numRef>
              <c:f>Sheet1!$D$2:$D$29</c:f>
              <c:numCache>
                <c:formatCode>General</c:formatCode>
                <c:ptCount val="28"/>
                <c:pt idx="0">
                  <c:v>0.53</c:v>
                </c:pt>
                <c:pt idx="1">
                  <c:v>0.33</c:v>
                </c:pt>
                <c:pt idx="2">
                  <c:v>0.23</c:v>
                </c:pt>
                <c:pt idx="3">
                  <c:v>0.12</c:v>
                </c:pt>
                <c:pt idx="4">
                  <c:v>0.13</c:v>
                </c:pt>
                <c:pt idx="5">
                  <c:v>0.08</c:v>
                </c:pt>
                <c:pt idx="6">
                  <c:v>0.09</c:v>
                </c:pt>
                <c:pt idx="7">
                  <c:v>0.08</c:v>
                </c:pt>
                <c:pt idx="8">
                  <c:v>0.05</c:v>
                </c:pt>
                <c:pt idx="9">
                  <c:v>0.03</c:v>
                </c:pt>
                <c:pt idx="10">
                  <c:v>0</c:v>
                </c:pt>
                <c:pt idx="11">
                  <c:v>0.03</c:v>
                </c:pt>
                <c:pt idx="12">
                  <c:v>0.03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0.03</c:v>
                </c:pt>
                <c:pt idx="17">
                  <c:v>0.05</c:v>
                </c:pt>
                <c:pt idx="18">
                  <c:v>0.01</c:v>
                </c:pt>
                <c:pt idx="19">
                  <c:v>0</c:v>
                </c:pt>
                <c:pt idx="20">
                  <c:v>0.02</c:v>
                </c:pt>
                <c:pt idx="21">
                  <c:v>0.01</c:v>
                </c:pt>
                <c:pt idx="22">
                  <c:v>0</c:v>
                </c:pt>
                <c:pt idx="23">
                  <c:v>0.01</c:v>
                </c:pt>
                <c:pt idx="24">
                  <c:v>7.0000000000000007E-2</c:v>
                </c:pt>
                <c:pt idx="25">
                  <c:v>0.06</c:v>
                </c:pt>
                <c:pt idx="26">
                  <c:v>0.02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5E-DA40-8439-0BEA7DC81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068928"/>
        <c:axId val="619070656"/>
      </c:scatterChart>
      <c:valAx>
        <c:axId val="61906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70656"/>
        <c:crosses val="autoZero"/>
        <c:crossBetween val="midCat"/>
      </c:valAx>
      <c:valAx>
        <c:axId val="6190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6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</c:numCache>
            </c:numRef>
          </c:xVal>
          <c:yVal>
            <c:numRef>
              <c:f>Sheet1!$E$2:$E$29</c:f>
              <c:numCache>
                <c:formatCode>General</c:formatCode>
                <c:ptCount val="28"/>
                <c:pt idx="0">
                  <c:v>52.2</c:v>
                </c:pt>
                <c:pt idx="1">
                  <c:v>41.31</c:v>
                </c:pt>
                <c:pt idx="2">
                  <c:v>28.22</c:v>
                </c:pt>
                <c:pt idx="3">
                  <c:v>19.760000000000002</c:v>
                </c:pt>
                <c:pt idx="4">
                  <c:v>21.3</c:v>
                </c:pt>
                <c:pt idx="5">
                  <c:v>16.97</c:v>
                </c:pt>
                <c:pt idx="6">
                  <c:v>17.04</c:v>
                </c:pt>
                <c:pt idx="7">
                  <c:v>17.71</c:v>
                </c:pt>
                <c:pt idx="8">
                  <c:v>9.8800000000000008</c:v>
                </c:pt>
                <c:pt idx="9">
                  <c:v>8.2899999999999991</c:v>
                </c:pt>
                <c:pt idx="10">
                  <c:v>8.25</c:v>
                </c:pt>
                <c:pt idx="11">
                  <c:v>8.86</c:v>
                </c:pt>
                <c:pt idx="12">
                  <c:v>8.2899999999999991</c:v>
                </c:pt>
                <c:pt idx="13">
                  <c:v>6.56</c:v>
                </c:pt>
                <c:pt idx="14">
                  <c:v>6.59</c:v>
                </c:pt>
                <c:pt idx="15">
                  <c:v>3.88</c:v>
                </c:pt>
                <c:pt idx="16">
                  <c:v>7.82</c:v>
                </c:pt>
                <c:pt idx="17">
                  <c:v>9.6</c:v>
                </c:pt>
                <c:pt idx="18">
                  <c:v>7.58</c:v>
                </c:pt>
                <c:pt idx="19">
                  <c:v>5.18</c:v>
                </c:pt>
                <c:pt idx="20">
                  <c:v>7.18</c:v>
                </c:pt>
                <c:pt idx="21">
                  <c:v>3.07</c:v>
                </c:pt>
                <c:pt idx="22">
                  <c:v>2.5499999999999998</c:v>
                </c:pt>
                <c:pt idx="23">
                  <c:v>4.32</c:v>
                </c:pt>
                <c:pt idx="24">
                  <c:v>13.17</c:v>
                </c:pt>
                <c:pt idx="25">
                  <c:v>4.6900000000000004</c:v>
                </c:pt>
                <c:pt idx="26">
                  <c:v>2.41</c:v>
                </c:pt>
                <c:pt idx="27">
                  <c:v>4.33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C4-B446-BDC8-F0AFF6409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579520"/>
        <c:axId val="367581792"/>
      </c:scatterChart>
      <c:valAx>
        <c:axId val="367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581792"/>
        <c:crosses val="autoZero"/>
        <c:crossBetween val="midCat"/>
      </c:valAx>
      <c:valAx>
        <c:axId val="3675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57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138545</xdr:colOff>
      <xdr:row>4</xdr:row>
      <xdr:rowOff>138545</xdr:rowOff>
    </xdr:from>
    <xdr:to>
      <xdr:col>22</xdr:col>
      <xdr:colOff>438726</xdr:colOff>
      <xdr:row>24</xdr:row>
      <xdr:rowOff>20782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D9AB74-C1AF-9D07-2EBD-1D2FFD044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80818</xdr:colOff>
      <xdr:row>29</xdr:row>
      <xdr:rowOff>184727</xdr:rowOff>
    </xdr:from>
    <xdr:to>
      <xdr:col>5</xdr:col>
      <xdr:colOff>785091</xdr:colOff>
      <xdr:row>46</xdr:row>
      <xdr:rowOff>20782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22E0FB-B724-58CB-07C4-343DD93FE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236681</xdr:colOff>
      <xdr:row>29</xdr:row>
      <xdr:rowOff>163946</xdr:rowOff>
    </xdr:from>
    <xdr:to>
      <xdr:col>13</xdr:col>
      <xdr:colOff>138545</xdr:colOff>
      <xdr:row>46</xdr:row>
      <xdr:rowOff>11546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BE8885-72A3-9A57-11CC-A793CE00E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110" zoomScaleNormal="110" workbookViewId="0">
      <selection activeCell="H23" sqref="C23:H23"/>
    </sheetView>
  </sheetViews>
  <sheetFormatPr baseColWidth="10" defaultColWidth="8.83203125" defaultRowHeight="15" x14ac:dyDescent="0.2"/>
  <cols>
    <col min="1" max="1" width="3.1640625" bestFit="1" customWidth="1"/>
    <col min="2" max="2" width="6.83203125" bestFit="1" customWidth="1"/>
    <col min="3" max="3" width="13.33203125" bestFit="1" customWidth="1"/>
    <col min="4" max="4" width="16.6640625" bestFit="1" customWidth="1"/>
    <col min="5" max="5" width="23.83203125" bestFit="1" customWidth="1"/>
    <col min="6" max="6" width="14.1640625" bestFit="1" customWidth="1"/>
    <col min="7" max="7" width="6.6640625" bestFit="1" customWidth="1"/>
    <col min="8" max="8" width="13.1640625" bestFit="1" customWidth="1"/>
    <col min="9" max="9" width="6.6640625" bestFit="1" customWidth="1"/>
    <col min="10" max="10" width="18.1640625" bestFit="1" customWidth="1"/>
  </cols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G1" t="s">
        <v>7</v>
      </c>
      <c r="H1" s="1" t="s">
        <v>4</v>
      </c>
      <c r="J1" s="1" t="s">
        <v>5</v>
      </c>
      <c r="L1" s="1" t="s">
        <v>6</v>
      </c>
    </row>
    <row r="2" spans="1:12" x14ac:dyDescent="0.2">
      <c r="A2" s="1">
        <v>0</v>
      </c>
      <c r="B2">
        <v>10</v>
      </c>
      <c r="C2">
        <v>0.01</v>
      </c>
      <c r="D2">
        <v>0.53</v>
      </c>
      <c r="E2">
        <v>52.2</v>
      </c>
      <c r="F2">
        <f>E2/SUM(E$2:E$29)</f>
        <v>0.15042794155788017</v>
      </c>
      <c r="G2">
        <f>F2+D2</f>
        <v>0.68042794155788022</v>
      </c>
      <c r="H2">
        <v>36.31</v>
      </c>
      <c r="I2" s="2">
        <f>H2/60</f>
        <v>0.60516666666666674</v>
      </c>
      <c r="J2">
        <v>0.42</v>
      </c>
      <c r="K2" s="2">
        <f>J2/60</f>
        <v>7.0000000000000001E-3</v>
      </c>
      <c r="L2">
        <v>2.25</v>
      </c>
    </row>
    <row r="3" spans="1:12" x14ac:dyDescent="0.2">
      <c r="A3" s="1">
        <v>1</v>
      </c>
      <c r="B3">
        <v>20</v>
      </c>
      <c r="C3">
        <v>0.02</v>
      </c>
      <c r="D3">
        <v>0.33</v>
      </c>
      <c r="E3">
        <v>41.31</v>
      </c>
      <c r="F3">
        <f t="shared" ref="F3:F29" si="0">E3/SUM(E$2:E$29)</f>
        <v>0.11904556064666723</v>
      </c>
      <c r="G3">
        <f t="shared" ref="G3:G29" si="1">F3+D3</f>
        <v>0.44904556064666723</v>
      </c>
      <c r="H3">
        <v>34.07</v>
      </c>
      <c r="I3" s="2">
        <f t="shared" ref="I3:I29" si="2">H3/60</f>
        <v>0.5678333333333333</v>
      </c>
      <c r="J3">
        <v>0.69</v>
      </c>
      <c r="K3" s="2">
        <f t="shared" ref="K3:K29" si="3">J3/60</f>
        <v>1.15E-2</v>
      </c>
      <c r="L3">
        <v>3.31</v>
      </c>
    </row>
    <row r="4" spans="1:12" x14ac:dyDescent="0.2">
      <c r="A4" s="1">
        <v>2</v>
      </c>
      <c r="B4">
        <v>30</v>
      </c>
      <c r="C4">
        <v>0.01</v>
      </c>
      <c r="D4">
        <v>0.23</v>
      </c>
      <c r="E4">
        <v>28.22</v>
      </c>
      <c r="F4">
        <f t="shared" si="0"/>
        <v>8.1323304803896129E-2</v>
      </c>
      <c r="G4">
        <f t="shared" si="1"/>
        <v>0.31132330480389614</v>
      </c>
      <c r="H4">
        <v>35.83</v>
      </c>
      <c r="I4" s="2">
        <f t="shared" si="2"/>
        <v>0.59716666666666662</v>
      </c>
      <c r="J4">
        <v>1.65</v>
      </c>
      <c r="K4" s="2">
        <f t="shared" si="3"/>
        <v>2.75E-2</v>
      </c>
      <c r="L4">
        <v>4.4800000000000004</v>
      </c>
    </row>
    <row r="5" spans="1:12" x14ac:dyDescent="0.2">
      <c r="A5" s="1">
        <v>3</v>
      </c>
      <c r="B5">
        <v>40</v>
      </c>
      <c r="C5">
        <v>0.01</v>
      </c>
      <c r="D5">
        <v>0.12</v>
      </c>
      <c r="E5">
        <v>19.760000000000002</v>
      </c>
      <c r="F5">
        <f t="shared" si="0"/>
        <v>5.6943603930722453E-2</v>
      </c>
      <c r="G5">
        <f t="shared" si="1"/>
        <v>0.17694360393072245</v>
      </c>
      <c r="H5">
        <v>37.51</v>
      </c>
      <c r="I5" s="2">
        <f t="shared" si="2"/>
        <v>0.62516666666666665</v>
      </c>
      <c r="J5">
        <v>2.33</v>
      </c>
      <c r="K5" s="2">
        <f t="shared" si="3"/>
        <v>3.8833333333333338E-2</v>
      </c>
      <c r="L5">
        <v>5.45</v>
      </c>
    </row>
    <row r="6" spans="1:12" x14ac:dyDescent="0.2">
      <c r="A6" s="1">
        <v>4</v>
      </c>
      <c r="B6">
        <v>50</v>
      </c>
      <c r="C6">
        <v>0.01</v>
      </c>
      <c r="D6">
        <v>0.13</v>
      </c>
      <c r="E6">
        <v>21.3</v>
      </c>
      <c r="F6">
        <f t="shared" si="0"/>
        <v>6.1381516382813167E-2</v>
      </c>
      <c r="G6">
        <f t="shared" si="1"/>
        <v>0.19138151638281317</v>
      </c>
      <c r="H6">
        <v>41.15</v>
      </c>
      <c r="I6" s="2">
        <f t="shared" si="2"/>
        <v>0.68583333333333329</v>
      </c>
      <c r="J6">
        <v>3.09</v>
      </c>
      <c r="K6" s="2">
        <f t="shared" si="3"/>
        <v>5.1499999999999997E-2</v>
      </c>
      <c r="L6">
        <v>6.53</v>
      </c>
    </row>
    <row r="7" spans="1:12" x14ac:dyDescent="0.2">
      <c r="A7" s="1">
        <v>5</v>
      </c>
      <c r="B7">
        <v>60</v>
      </c>
      <c r="C7">
        <v>0</v>
      </c>
      <c r="D7">
        <v>0.08</v>
      </c>
      <c r="E7">
        <v>16.97</v>
      </c>
      <c r="F7">
        <f t="shared" si="0"/>
        <v>4.8903489812973683E-2</v>
      </c>
      <c r="G7">
        <f t="shared" si="1"/>
        <v>0.12890348981297367</v>
      </c>
      <c r="H7">
        <v>39.54</v>
      </c>
      <c r="I7" s="2">
        <f t="shared" si="2"/>
        <v>0.65900000000000003</v>
      </c>
      <c r="J7">
        <v>2.48</v>
      </c>
      <c r="K7" s="2">
        <f t="shared" si="3"/>
        <v>4.1333333333333333E-2</v>
      </c>
      <c r="L7">
        <v>7.43</v>
      </c>
    </row>
    <row r="8" spans="1:12" x14ac:dyDescent="0.2">
      <c r="A8" s="1">
        <v>6</v>
      </c>
      <c r="B8">
        <v>70</v>
      </c>
      <c r="C8">
        <v>0.01</v>
      </c>
      <c r="D8">
        <v>0.09</v>
      </c>
      <c r="E8">
        <v>17.04</v>
      </c>
      <c r="F8">
        <f t="shared" si="0"/>
        <v>4.9105213106250531E-2</v>
      </c>
      <c r="G8">
        <f t="shared" si="1"/>
        <v>0.13910521310625051</v>
      </c>
      <c r="H8">
        <v>41.04</v>
      </c>
      <c r="I8" s="2">
        <f t="shared" si="2"/>
        <v>0.68399999999999994</v>
      </c>
      <c r="J8">
        <v>2.97</v>
      </c>
      <c r="K8" s="2">
        <f t="shared" si="3"/>
        <v>4.9500000000000002E-2</v>
      </c>
      <c r="L8">
        <v>8.48</v>
      </c>
    </row>
    <row r="9" spans="1:12" x14ac:dyDescent="0.2">
      <c r="A9" s="1">
        <v>7</v>
      </c>
      <c r="B9">
        <v>80</v>
      </c>
      <c r="C9">
        <v>0</v>
      </c>
      <c r="D9">
        <v>0.08</v>
      </c>
      <c r="E9">
        <v>17.71</v>
      </c>
      <c r="F9">
        <f t="shared" si="0"/>
        <v>5.1035993199043249E-2</v>
      </c>
      <c r="G9">
        <f t="shared" si="1"/>
        <v>0.13103599319904324</v>
      </c>
      <c r="H9">
        <v>45.36</v>
      </c>
      <c r="I9" s="2">
        <f t="shared" si="2"/>
        <v>0.75600000000000001</v>
      </c>
      <c r="J9">
        <v>6.25</v>
      </c>
      <c r="K9" s="2">
        <f t="shared" si="3"/>
        <v>0.10416666666666667</v>
      </c>
      <c r="L9">
        <v>9.5</v>
      </c>
    </row>
    <row r="10" spans="1:12" x14ac:dyDescent="0.2">
      <c r="A10" s="1">
        <v>8</v>
      </c>
      <c r="B10">
        <v>90</v>
      </c>
      <c r="C10">
        <v>0</v>
      </c>
      <c r="D10">
        <v>0.05</v>
      </c>
      <c r="E10">
        <v>9.8800000000000008</v>
      </c>
      <c r="F10">
        <f t="shared" si="0"/>
        <v>2.8471801965361226E-2</v>
      </c>
      <c r="G10">
        <f t="shared" si="1"/>
        <v>7.8471801965361229E-2</v>
      </c>
      <c r="H10">
        <v>45.25</v>
      </c>
      <c r="I10" s="2">
        <f t="shared" si="2"/>
        <v>0.75416666666666665</v>
      </c>
      <c r="J10">
        <v>4.9800000000000004</v>
      </c>
      <c r="K10" s="2">
        <f t="shared" si="3"/>
        <v>8.3000000000000004E-2</v>
      </c>
      <c r="L10">
        <v>10.57</v>
      </c>
    </row>
    <row r="11" spans="1:12" x14ac:dyDescent="0.2">
      <c r="A11" s="1">
        <v>9</v>
      </c>
      <c r="B11">
        <v>100</v>
      </c>
      <c r="C11">
        <v>0</v>
      </c>
      <c r="D11">
        <v>0.03</v>
      </c>
      <c r="E11">
        <v>8.2899999999999991</v>
      </c>
      <c r="F11">
        <f t="shared" si="0"/>
        <v>2.3889801446644182E-2</v>
      </c>
      <c r="G11">
        <f t="shared" si="1"/>
        <v>5.3889801446644181E-2</v>
      </c>
      <c r="H11">
        <v>46.04</v>
      </c>
      <c r="I11" s="2">
        <f t="shared" si="2"/>
        <v>0.76733333333333331</v>
      </c>
      <c r="J11">
        <v>4.8600000000000003</v>
      </c>
      <c r="K11" s="2">
        <f t="shared" si="3"/>
        <v>8.1000000000000003E-2</v>
      </c>
      <c r="L11">
        <v>11.57</v>
      </c>
    </row>
    <row r="12" spans="1:12" x14ac:dyDescent="0.2">
      <c r="A12" s="1">
        <v>10</v>
      </c>
      <c r="B12">
        <v>110</v>
      </c>
      <c r="C12">
        <v>0.02</v>
      </c>
      <c r="D12">
        <v>0</v>
      </c>
      <c r="E12">
        <v>8.25</v>
      </c>
      <c r="F12">
        <f t="shared" si="0"/>
        <v>2.3774530993343129E-2</v>
      </c>
      <c r="G12">
        <f t="shared" si="1"/>
        <v>2.3774530993343129E-2</v>
      </c>
      <c r="H12">
        <v>52.69</v>
      </c>
      <c r="I12" s="2">
        <f t="shared" si="2"/>
        <v>0.87816666666666665</v>
      </c>
      <c r="J12">
        <v>10.39</v>
      </c>
      <c r="K12" s="2">
        <f t="shared" si="3"/>
        <v>0.17316666666666666</v>
      </c>
      <c r="L12">
        <v>12.61</v>
      </c>
    </row>
    <row r="13" spans="1:12" x14ac:dyDescent="0.2">
      <c r="A13" s="1">
        <v>11</v>
      </c>
      <c r="B13">
        <v>120</v>
      </c>
      <c r="C13">
        <v>0.01</v>
      </c>
      <c r="D13">
        <v>0.03</v>
      </c>
      <c r="E13">
        <v>8.86</v>
      </c>
      <c r="F13">
        <f t="shared" si="0"/>
        <v>2.5532405406184254E-2</v>
      </c>
      <c r="G13">
        <f t="shared" si="1"/>
        <v>5.5532405406184253E-2</v>
      </c>
      <c r="H13">
        <v>58.87</v>
      </c>
      <c r="I13" s="2">
        <f t="shared" si="2"/>
        <v>0.98116666666666663</v>
      </c>
      <c r="J13">
        <v>15.01</v>
      </c>
      <c r="K13" s="2">
        <f t="shared" si="3"/>
        <v>0.25016666666666665</v>
      </c>
      <c r="L13">
        <v>14</v>
      </c>
    </row>
    <row r="14" spans="1:12" x14ac:dyDescent="0.2">
      <c r="A14" s="1">
        <v>12</v>
      </c>
      <c r="B14">
        <v>130</v>
      </c>
      <c r="C14">
        <v>0</v>
      </c>
      <c r="D14">
        <v>0.03</v>
      </c>
      <c r="E14">
        <v>8.2899999999999991</v>
      </c>
      <c r="F14">
        <f t="shared" si="0"/>
        <v>2.3889801446644182E-2</v>
      </c>
      <c r="G14">
        <f t="shared" si="1"/>
        <v>5.3889801446644181E-2</v>
      </c>
      <c r="H14">
        <v>55.24</v>
      </c>
      <c r="I14" s="2">
        <f t="shared" si="2"/>
        <v>0.92066666666666674</v>
      </c>
      <c r="J14">
        <v>10.66</v>
      </c>
      <c r="K14" s="2">
        <f t="shared" si="3"/>
        <v>0.17766666666666667</v>
      </c>
      <c r="L14">
        <v>14.78</v>
      </c>
    </row>
    <row r="15" spans="1:12" x14ac:dyDescent="0.2">
      <c r="A15" s="1">
        <v>13</v>
      </c>
      <c r="B15">
        <v>140</v>
      </c>
      <c r="C15">
        <v>0</v>
      </c>
      <c r="D15">
        <v>0.02</v>
      </c>
      <c r="E15">
        <v>6.56</v>
      </c>
      <c r="F15">
        <f t="shared" si="0"/>
        <v>1.8904354341373445E-2</v>
      </c>
      <c r="G15">
        <f t="shared" si="1"/>
        <v>3.8904354341373446E-2</v>
      </c>
      <c r="H15">
        <v>60</v>
      </c>
      <c r="I15" s="2">
        <f t="shared" si="2"/>
        <v>1</v>
      </c>
      <c r="J15">
        <v>14.5</v>
      </c>
      <c r="K15" s="2">
        <f t="shared" si="3"/>
        <v>0.24166666666666667</v>
      </c>
      <c r="L15">
        <v>15.79</v>
      </c>
    </row>
    <row r="16" spans="1:12" x14ac:dyDescent="0.2">
      <c r="A16" s="1">
        <v>14</v>
      </c>
      <c r="B16">
        <v>150</v>
      </c>
      <c r="C16">
        <v>0.02</v>
      </c>
      <c r="D16">
        <v>0.02</v>
      </c>
      <c r="E16">
        <v>6.59</v>
      </c>
      <c r="F16">
        <f t="shared" si="0"/>
        <v>1.8990807181349236E-2</v>
      </c>
      <c r="G16">
        <f t="shared" si="1"/>
        <v>3.8990807181349237E-2</v>
      </c>
      <c r="H16">
        <v>58.84</v>
      </c>
      <c r="I16" s="2">
        <f t="shared" si="2"/>
        <v>0.98066666666666669</v>
      </c>
      <c r="J16">
        <v>12.19</v>
      </c>
      <c r="K16" s="2">
        <f t="shared" si="3"/>
        <v>0.20316666666666666</v>
      </c>
      <c r="L16">
        <v>16.850000000000001</v>
      </c>
    </row>
    <row r="17" spans="1:12" x14ac:dyDescent="0.2">
      <c r="A17" s="1">
        <v>15</v>
      </c>
      <c r="B17">
        <v>160</v>
      </c>
      <c r="C17">
        <v>0.01</v>
      </c>
      <c r="D17">
        <v>0.03</v>
      </c>
      <c r="E17">
        <v>3.88</v>
      </c>
      <c r="F17">
        <f t="shared" si="0"/>
        <v>1.1181233970202585E-2</v>
      </c>
      <c r="G17">
        <f t="shared" si="1"/>
        <v>4.1181233970202583E-2</v>
      </c>
      <c r="H17">
        <v>60.95</v>
      </c>
      <c r="I17" s="2">
        <f t="shared" si="2"/>
        <v>1.0158333333333334</v>
      </c>
      <c r="J17">
        <v>13.42</v>
      </c>
      <c r="K17" s="2">
        <f t="shared" si="3"/>
        <v>0.22366666666666665</v>
      </c>
      <c r="L17">
        <v>17.8</v>
      </c>
    </row>
    <row r="18" spans="1:12" x14ac:dyDescent="0.2">
      <c r="A18" s="1">
        <v>16</v>
      </c>
      <c r="B18">
        <v>170</v>
      </c>
      <c r="C18">
        <v>0.01</v>
      </c>
      <c r="D18">
        <v>0.03</v>
      </c>
      <c r="E18">
        <v>7.82</v>
      </c>
      <c r="F18">
        <f t="shared" si="0"/>
        <v>2.253537362035676E-2</v>
      </c>
      <c r="G18">
        <f t="shared" si="1"/>
        <v>5.2535373620356762E-2</v>
      </c>
      <c r="H18">
        <v>66.37</v>
      </c>
      <c r="I18" s="2">
        <f t="shared" si="2"/>
        <v>1.1061666666666667</v>
      </c>
      <c r="J18">
        <v>17.61</v>
      </c>
      <c r="K18" s="2">
        <f t="shared" si="3"/>
        <v>0.29349999999999998</v>
      </c>
      <c r="L18">
        <v>18.91</v>
      </c>
    </row>
    <row r="19" spans="1:12" x14ac:dyDescent="0.2">
      <c r="A19" s="1">
        <v>17</v>
      </c>
      <c r="B19">
        <v>180</v>
      </c>
      <c r="C19">
        <v>0</v>
      </c>
      <c r="D19">
        <v>0.05</v>
      </c>
      <c r="E19">
        <v>9.6</v>
      </c>
      <c r="F19">
        <f t="shared" si="0"/>
        <v>2.766490879225382E-2</v>
      </c>
      <c r="G19">
        <f t="shared" si="1"/>
        <v>7.7664908792253823E-2</v>
      </c>
      <c r="H19">
        <v>63.15</v>
      </c>
      <c r="I19" s="2">
        <f t="shared" si="2"/>
        <v>1.0525</v>
      </c>
      <c r="J19">
        <v>13.57</v>
      </c>
      <c r="K19" s="2">
        <f t="shared" si="3"/>
        <v>0.22616666666666668</v>
      </c>
      <c r="L19">
        <v>19.86</v>
      </c>
    </row>
    <row r="20" spans="1:12" x14ac:dyDescent="0.2">
      <c r="A20" s="1">
        <v>18</v>
      </c>
      <c r="B20">
        <v>190</v>
      </c>
      <c r="C20">
        <v>0.03</v>
      </c>
      <c r="D20">
        <v>0.01</v>
      </c>
      <c r="E20">
        <v>7.58</v>
      </c>
      <c r="F20">
        <f t="shared" si="0"/>
        <v>2.1843750900550414E-2</v>
      </c>
      <c r="G20">
        <f t="shared" si="1"/>
        <v>3.1843750900550416E-2</v>
      </c>
      <c r="H20">
        <v>67.489999999999995</v>
      </c>
      <c r="I20" s="2">
        <f t="shared" si="2"/>
        <v>1.1248333333333334</v>
      </c>
      <c r="J20">
        <v>16.809999999999999</v>
      </c>
      <c r="K20" s="2">
        <f t="shared" si="3"/>
        <v>0.28016666666666662</v>
      </c>
      <c r="L20">
        <v>20.97</v>
      </c>
    </row>
    <row r="21" spans="1:12" x14ac:dyDescent="0.2">
      <c r="A21" s="1">
        <v>19</v>
      </c>
      <c r="B21">
        <v>200</v>
      </c>
      <c r="C21">
        <v>0.01</v>
      </c>
      <c r="D21">
        <v>0</v>
      </c>
      <c r="E21">
        <v>5.18</v>
      </c>
      <c r="F21">
        <f t="shared" si="0"/>
        <v>1.4927523702486957E-2</v>
      </c>
      <c r="G21">
        <f t="shared" si="1"/>
        <v>1.4927523702486957E-2</v>
      </c>
      <c r="H21">
        <v>74.89</v>
      </c>
      <c r="I21" s="2">
        <f t="shared" si="2"/>
        <v>1.2481666666666666</v>
      </c>
      <c r="J21">
        <v>23.15</v>
      </c>
      <c r="K21" s="2">
        <f t="shared" si="3"/>
        <v>0.38583333333333331</v>
      </c>
      <c r="L21">
        <v>22.02</v>
      </c>
    </row>
    <row r="22" spans="1:12" x14ac:dyDescent="0.2">
      <c r="A22" s="1">
        <v>20</v>
      </c>
      <c r="B22">
        <v>300</v>
      </c>
      <c r="C22">
        <v>0.01</v>
      </c>
      <c r="D22">
        <v>0.02</v>
      </c>
      <c r="E22">
        <v>7.18</v>
      </c>
      <c r="F22">
        <f t="shared" si="0"/>
        <v>2.0691046367539837E-2</v>
      </c>
      <c r="G22">
        <f t="shared" si="1"/>
        <v>4.069104636753984E-2</v>
      </c>
      <c r="H22">
        <v>95.77</v>
      </c>
      <c r="I22" s="2">
        <f t="shared" si="2"/>
        <v>1.5961666666666665</v>
      </c>
      <c r="J22">
        <v>33.26</v>
      </c>
      <c r="K22" s="2">
        <f t="shared" si="3"/>
        <v>0.55433333333333334</v>
      </c>
      <c r="L22">
        <v>32.659999999999997</v>
      </c>
    </row>
    <row r="23" spans="1:12" x14ac:dyDescent="0.2">
      <c r="A23" s="1">
        <v>21</v>
      </c>
      <c r="B23">
        <v>400</v>
      </c>
      <c r="C23">
        <v>0.01</v>
      </c>
      <c r="D23">
        <v>0.01</v>
      </c>
      <c r="E23">
        <v>3.07</v>
      </c>
      <c r="F23">
        <f t="shared" si="0"/>
        <v>8.8470072908561695E-3</v>
      </c>
      <c r="G23">
        <f t="shared" si="1"/>
        <v>1.8847007290856171E-2</v>
      </c>
      <c r="H23">
        <v>128.33000000000001</v>
      </c>
      <c r="I23" s="2">
        <f t="shared" si="2"/>
        <v>2.1388333333333334</v>
      </c>
      <c r="J23">
        <v>55.47</v>
      </c>
      <c r="K23" s="2">
        <f t="shared" si="3"/>
        <v>0.92449999999999999</v>
      </c>
      <c r="L23">
        <v>43.08</v>
      </c>
    </row>
    <row r="24" spans="1:12" x14ac:dyDescent="0.2">
      <c r="A24" s="1">
        <v>22</v>
      </c>
      <c r="B24">
        <v>500</v>
      </c>
      <c r="C24">
        <v>0</v>
      </c>
      <c r="D24">
        <v>0</v>
      </c>
      <c r="E24">
        <v>2.5499999999999998</v>
      </c>
      <c r="F24">
        <f t="shared" si="0"/>
        <v>7.3484913979424207E-3</v>
      </c>
      <c r="G24">
        <f t="shared" si="1"/>
        <v>7.3484913979424207E-3</v>
      </c>
      <c r="H24">
        <v>440.32</v>
      </c>
      <c r="I24" s="2">
        <f t="shared" si="2"/>
        <v>7.3386666666666667</v>
      </c>
      <c r="J24">
        <v>354.35</v>
      </c>
      <c r="K24" s="2">
        <f t="shared" si="3"/>
        <v>5.9058333333333337</v>
      </c>
      <c r="L24">
        <v>51.89</v>
      </c>
    </row>
    <row r="25" spans="1:12" x14ac:dyDescent="0.2">
      <c r="A25" s="1">
        <v>23</v>
      </c>
      <c r="B25">
        <v>600</v>
      </c>
      <c r="C25">
        <v>0.03</v>
      </c>
      <c r="D25">
        <v>0.01</v>
      </c>
      <c r="E25">
        <v>4.32</v>
      </c>
      <c r="F25">
        <f t="shared" si="0"/>
        <v>1.244920895651422E-2</v>
      </c>
      <c r="G25">
        <f t="shared" si="1"/>
        <v>2.244920895651422E-2</v>
      </c>
      <c r="H25">
        <v>675.86</v>
      </c>
      <c r="I25" s="2">
        <f t="shared" si="2"/>
        <v>11.264333333333333</v>
      </c>
      <c r="J25">
        <v>580.78</v>
      </c>
      <c r="K25" s="2">
        <f t="shared" si="3"/>
        <v>9.679666666666666</v>
      </c>
      <c r="L25">
        <v>65.36</v>
      </c>
    </row>
    <row r="26" spans="1:12" x14ac:dyDescent="0.2">
      <c r="A26" s="1">
        <v>24</v>
      </c>
      <c r="B26">
        <v>700</v>
      </c>
      <c r="C26">
        <v>0</v>
      </c>
      <c r="D26">
        <v>7.0000000000000007E-2</v>
      </c>
      <c r="E26">
        <v>13.17</v>
      </c>
      <c r="F26">
        <f t="shared" si="0"/>
        <v>3.7952796749373213E-2</v>
      </c>
      <c r="G26">
        <f t="shared" si="1"/>
        <v>0.10795279674937322</v>
      </c>
      <c r="H26">
        <v>1066.45</v>
      </c>
      <c r="I26" s="2">
        <f t="shared" si="2"/>
        <v>17.774166666666666</v>
      </c>
      <c r="J26">
        <v>960.03</v>
      </c>
      <c r="K26" s="2">
        <f t="shared" si="3"/>
        <v>16.000499999999999</v>
      </c>
      <c r="L26">
        <v>76</v>
      </c>
    </row>
    <row r="27" spans="1:12" x14ac:dyDescent="0.2">
      <c r="A27" s="1">
        <v>25</v>
      </c>
      <c r="B27">
        <v>800</v>
      </c>
      <c r="C27">
        <v>0.01</v>
      </c>
      <c r="D27">
        <v>0.06</v>
      </c>
      <c r="E27">
        <v>4.6900000000000004</v>
      </c>
      <c r="F27">
        <f t="shared" si="0"/>
        <v>1.3515460649549003E-2</v>
      </c>
      <c r="G27">
        <f t="shared" si="1"/>
        <v>7.3515460649549003E-2</v>
      </c>
      <c r="H27">
        <v>2350.36</v>
      </c>
      <c r="I27" s="2">
        <f t="shared" si="2"/>
        <v>39.172666666666672</v>
      </c>
      <c r="J27">
        <v>2237.39</v>
      </c>
      <c r="K27" s="2">
        <f t="shared" si="3"/>
        <v>37.289833333333334</v>
      </c>
      <c r="L27">
        <v>82.56</v>
      </c>
    </row>
    <row r="28" spans="1:12" x14ac:dyDescent="0.2">
      <c r="A28" s="1">
        <v>26</v>
      </c>
      <c r="B28">
        <v>900</v>
      </c>
      <c r="C28">
        <v>0.03</v>
      </c>
      <c r="D28">
        <v>0.02</v>
      </c>
      <c r="E28">
        <v>2.41</v>
      </c>
      <c r="F28">
        <f t="shared" si="0"/>
        <v>6.9450448113887201E-3</v>
      </c>
      <c r="G28">
        <f t="shared" si="1"/>
        <v>2.6945044811388721E-2</v>
      </c>
      <c r="H28">
        <v>6700.21</v>
      </c>
      <c r="I28" s="2">
        <f t="shared" si="2"/>
        <v>111.67016666666667</v>
      </c>
      <c r="J28">
        <v>6569.67</v>
      </c>
      <c r="K28" s="2">
        <f t="shared" si="3"/>
        <v>109.4945</v>
      </c>
      <c r="L28">
        <v>100.86</v>
      </c>
    </row>
    <row r="29" spans="1:12" x14ac:dyDescent="0.2">
      <c r="A29" s="1">
        <v>27</v>
      </c>
      <c r="B29">
        <v>1000</v>
      </c>
      <c r="C29">
        <v>0.01</v>
      </c>
      <c r="D29">
        <v>0</v>
      </c>
      <c r="E29">
        <v>4.33</v>
      </c>
      <c r="F29">
        <f t="shared" si="0"/>
        <v>1.2478026569839484E-2</v>
      </c>
      <c r="G29">
        <f t="shared" si="1"/>
        <v>1.2478026569839484E-2</v>
      </c>
      <c r="H29">
        <v>4950.37</v>
      </c>
      <c r="I29" s="2">
        <f t="shared" si="2"/>
        <v>82.506166666666658</v>
      </c>
      <c r="J29">
        <v>4813.87</v>
      </c>
      <c r="K29" s="2">
        <f t="shared" si="3"/>
        <v>80.231166666666667</v>
      </c>
      <c r="L29">
        <v>106.92</v>
      </c>
    </row>
    <row r="30" spans="1:12" x14ac:dyDescent="0.2">
      <c r="F30">
        <f>SUM(F2:F29)</f>
        <v>1</v>
      </c>
    </row>
  </sheetData>
  <conditionalFormatting sqref="C1:C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NOEMIE GANGAND</cp:lastModifiedBy>
  <dcterms:created xsi:type="dcterms:W3CDTF">2024-01-28T15:12:10Z</dcterms:created>
  <dcterms:modified xsi:type="dcterms:W3CDTF">2024-01-31T08:35:43Z</dcterms:modified>
</cp:coreProperties>
</file>